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32B8A5B8-58B0-4981-A07B-DE4D1FDE5741}" xr6:coauthVersionLast="47" xr6:coauthVersionMax="47" xr10:uidLastSave="{00000000-0000-0000-0000-000000000000}"/>
  <bookViews>
    <workbookView xWindow="-110" yWindow="-110" windowWidth="19420" windowHeight="10300" xr2:uid="{D1A546FC-6865-4E31-BF0C-7D4D43100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H16" i="1"/>
  <c r="J15" i="1"/>
  <c r="H15" i="1"/>
  <c r="K15" i="1" s="1"/>
  <c r="I15" i="1" s="1"/>
  <c r="J14" i="1"/>
  <c r="H14" i="1"/>
  <c r="K14" i="1" s="1"/>
  <c r="J13" i="1"/>
  <c r="H13" i="1"/>
  <c r="K13" i="1" s="1"/>
  <c r="I13" i="1" s="1"/>
  <c r="J12" i="1"/>
  <c r="H12" i="1"/>
  <c r="K12" i="1" s="1"/>
  <c r="I12" i="1" s="1"/>
  <c r="J11" i="1"/>
  <c r="H11" i="1"/>
  <c r="K11" i="1" s="1"/>
  <c r="I11" i="1" s="1"/>
  <c r="J10" i="1"/>
  <c r="H10" i="1"/>
  <c r="K10" i="1" s="1"/>
  <c r="I10" i="1" s="1"/>
  <c r="J9" i="1"/>
  <c r="H9" i="1"/>
  <c r="K9" i="1" s="1"/>
  <c r="I9" i="1" s="1"/>
  <c r="J8" i="1"/>
  <c r="H8" i="1"/>
  <c r="K8" i="1" s="1"/>
  <c r="I8" i="1" s="1"/>
  <c r="J7" i="1"/>
  <c r="H7" i="1"/>
  <c r="K7" i="1" s="1"/>
  <c r="I7" i="1" s="1"/>
  <c r="J6" i="1"/>
  <c r="H6" i="1"/>
  <c r="K6" i="1" s="1"/>
  <c r="I6" i="1" s="1"/>
  <c r="J5" i="1"/>
  <c r="H5" i="1"/>
  <c r="K5" i="1" s="1"/>
  <c r="I5" i="1" s="1"/>
  <c r="J4" i="1"/>
  <c r="H4" i="1"/>
  <c r="K4" i="1" s="1"/>
  <c r="I4" i="1" s="1"/>
  <c r="J3" i="1"/>
  <c r="H3" i="1"/>
  <c r="K3" i="1" s="1"/>
  <c r="I3" i="1" s="1"/>
</calcChain>
</file>

<file path=xl/sharedStrings.xml><?xml version="1.0" encoding="utf-8"?>
<sst xmlns="http://schemas.openxmlformats.org/spreadsheetml/2006/main" count="28" uniqueCount="27">
  <si>
    <t>STUDENT MARKS RESULTS TABLE</t>
  </si>
  <si>
    <t>STUDENT NAMES</t>
  </si>
  <si>
    <t>TELUGU</t>
  </si>
  <si>
    <t>ENGLISH</t>
  </si>
  <si>
    <t>HINDI</t>
  </si>
  <si>
    <t>MATHS</t>
  </si>
  <si>
    <t>SCIENCE</t>
  </si>
  <si>
    <t>SOCIAL</t>
  </si>
  <si>
    <t>TOTAL</t>
  </si>
  <si>
    <t>Grade</t>
  </si>
  <si>
    <t>RESULT</t>
  </si>
  <si>
    <t>Percentage</t>
  </si>
  <si>
    <t>Ramesh</t>
  </si>
  <si>
    <t>Ganesh</t>
  </si>
  <si>
    <t>prasad</t>
  </si>
  <si>
    <t>vijay</t>
  </si>
  <si>
    <t>ramya</t>
  </si>
  <si>
    <t>suresh</t>
  </si>
  <si>
    <t>swaroop</t>
  </si>
  <si>
    <t>mahesh</t>
  </si>
  <si>
    <t>rajesh</t>
  </si>
  <si>
    <t>vinccla</t>
  </si>
  <si>
    <t>durga</t>
  </si>
  <si>
    <t>lakashmi</t>
  </si>
  <si>
    <t>F</t>
  </si>
  <si>
    <t>murthi</t>
  </si>
  <si>
    <t>satya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</si>
</sst>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6CEA2B-1E6C-43CF-98EC-1A2F19072170}" name="Table3" displayName="Table3" ref="A2:G16" totalsRowShown="0" headerRowDxfId="5">
  <autoFilter ref="A2:G16" xr:uid="{0D6CEA2B-1E6C-43CF-98EC-1A2F19072170}"/>
  <tableColumns count="7">
    <tableColumn id="1" xr3:uid="{9A3238E8-66BC-4957-840F-BBB55DB41C88}" name="STUDENT NAMES" dataDxfId="4"/>
    <tableColumn id="2" xr3:uid="{E0F90F9D-5445-483D-BA5F-6B61C57E9D74}" name="TELUGU"/>
    <tableColumn id="3" xr3:uid="{45DA700E-0E9C-45AE-A3A5-486D3E151C4F}" name="ENGLISH"/>
    <tableColumn id="4" xr3:uid="{23CDFF2F-DF28-4527-B79F-89442501FE57}" name="HINDI"/>
    <tableColumn id="5" xr3:uid="{0B96FF4C-40B0-4DED-8016-7A42CBE8255D}" name="MATHS"/>
    <tableColumn id="6" xr3:uid="{4EA65981-2786-4BFA-BE48-A24FF8F74C92}" name="SCIENCE"/>
    <tableColumn id="7" xr3:uid="{54E8948A-549E-47EC-A574-27B966B1CFF3}" name="SOCIAL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A5D190-CFCD-41C2-8E02-89DFE4337832}" name="Table4" displayName="Table4" ref="H2:K16" totalsRowShown="0" headerRowDxfId="3">
  <autoFilter ref="H2:K16" xr:uid="{46A5D190-CFCD-41C2-8E02-89DFE4337832}"/>
  <tableColumns count="4">
    <tableColumn id="1" xr3:uid="{FC2A0281-B692-4A33-83BA-AD8C5FACA842}" name="TOTAL">
      <calculatedColumnFormula>SUM(Table3[[#This Row],[TELUGU]:[SOCIAL]])</calculatedColumnFormula>
    </tableColumn>
    <tableColumn id="2" xr3:uid="{A9435E00-8B6D-4F3E-A2BB-B5C6EC298A65}" name="Grade" dataDxfId="2">
      <calculatedColumnFormula>IF(Table4[[#This Row],[Percentage]]&gt;=90,"A",IF(Table4[[#This Row],[Percentage]]&gt;=80,"B",IF(Table4[[#This Row],[Percentage]]&gt;=70,"C",IF(Table4[[#This Row],[Percentage]]&gt;=60,"E",IF(Table4[[#This Row],[Percentage]]&gt;=50,"F")))))</calculatedColumnFormula>
    </tableColumn>
    <tableColumn id="3" xr3:uid="{61499774-F4E9-4504-A76D-DCF01B209FD1}" name="RESULT" dataDxfId="1">
      <calculatedColumnFormula>IF(MIN(Table3[[#This Row],[TELUGU]:[SOCIAL]])&gt;=35,"PASS","FAIL")</calculatedColumnFormula>
    </tableColumn>
    <tableColumn id="4" xr3:uid="{113E1228-522E-4BA8-BD78-2702E3CA2FF0}" name="Percentage" dataDxfId="0">
      <calculatedColumnFormula>(Table4[[#This Row],[TOTAL]]/600)*100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E906-17D9-4F39-AC40-7284DE4F4CFE}">
  <dimension ref="A1:K16"/>
  <sheetViews>
    <sheetView tabSelected="1" zoomScale="81" workbookViewId="0">
      <selection activeCell="L5" sqref="L5"/>
    </sheetView>
  </sheetViews>
  <sheetFormatPr defaultColWidth="14.54296875" defaultRowHeight="14.5" x14ac:dyDescent="0.35"/>
  <sheetData>
    <row r="1" spans="1:11" ht="18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9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18.5" x14ac:dyDescent="0.45">
      <c r="A3" s="4" t="s">
        <v>12</v>
      </c>
      <c r="B3">
        <v>43</v>
      </c>
      <c r="C3">
        <v>40</v>
      </c>
      <c r="D3">
        <v>42</v>
      </c>
      <c r="E3">
        <v>77</v>
      </c>
      <c r="F3">
        <v>77</v>
      </c>
      <c r="G3">
        <v>45</v>
      </c>
      <c r="H3">
        <f>SUM(Table3[[#This Row],[TELUGU]:[SOCIAL]])</f>
        <v>324</v>
      </c>
      <c r="I3" s="3" t="str">
        <f>IF(Table4[[#This Row],[Percentage]]&gt;=90,"A",IF(Table4[[#This Row],[Percentage]]&gt;=80,"B",IF(Table4[[#This Row],[Percentage]]&gt;=70,"C",IF(Table4[[#This Row],[Percentage]]&gt;=60,"E",IF(Table4[[#This Row],[Percentage]]&gt;=50,"F")))))</f>
        <v>F</v>
      </c>
      <c r="J3" s="3" t="str">
        <f>IF(MIN(Table3[[#This Row],[TELUGU]:[SOCIAL]])&gt;=35,"PASS","FAIL")</f>
        <v>PASS</v>
      </c>
      <c r="K3" s="3">
        <f>(Table4[[#This Row],[TOTAL]]/600)*100</f>
        <v>54</v>
      </c>
    </row>
    <row r="4" spans="1:11" ht="18.5" x14ac:dyDescent="0.45">
      <c r="A4" s="4" t="s">
        <v>13</v>
      </c>
      <c r="B4">
        <v>45</v>
      </c>
      <c r="C4">
        <v>99</v>
      </c>
      <c r="D4">
        <v>99</v>
      </c>
      <c r="E4">
        <v>35</v>
      </c>
      <c r="F4">
        <v>43</v>
      </c>
      <c r="G4">
        <v>54</v>
      </c>
      <c r="H4">
        <f>SUM(Table3[[#This Row],[TELUGU]:[SOCIAL]])</f>
        <v>375</v>
      </c>
      <c r="I4" s="3" t="str">
        <f>IF(Table4[[#This Row],[Percentage]]&gt;=90,"A",IF(Table4[[#This Row],[Percentage]]&gt;=80,"B",IF(Table4[[#This Row],[Percentage]]&gt;=70,"C",IF(Table4[[#This Row],[Percentage]]&gt;=60,"E",IF(Table4[[#This Row],[Percentage]]&gt;=50,"F")))))</f>
        <v>E</v>
      </c>
      <c r="J4" s="3" t="str">
        <f>IF(MIN(Table3[[#This Row],[TELUGU]:[SOCIAL]])&gt;=35,"PASS","FAIL")</f>
        <v>PASS</v>
      </c>
      <c r="K4" s="3">
        <f>(Table4[[#This Row],[TOTAL]]/600)*100</f>
        <v>62.5</v>
      </c>
    </row>
    <row r="5" spans="1:11" ht="18.5" x14ac:dyDescent="0.45">
      <c r="A5" s="4" t="s">
        <v>14</v>
      </c>
      <c r="B5">
        <v>37</v>
      </c>
      <c r="C5">
        <v>47</v>
      </c>
      <c r="D5">
        <v>74</v>
      </c>
      <c r="E5">
        <v>54</v>
      </c>
      <c r="F5">
        <v>45</v>
      </c>
      <c r="G5">
        <v>56</v>
      </c>
      <c r="H5">
        <f>SUM(Table3[[#This Row],[TELUGU]:[SOCIAL]])</f>
        <v>313</v>
      </c>
      <c r="I5" s="3" t="str">
        <f>IF(Table4[[#This Row],[Percentage]]&gt;=90,"A",IF(Table4[[#This Row],[Percentage]]&gt;=80,"B",IF(Table4[[#This Row],[Percentage]]&gt;=70,"C",IF(Table4[[#This Row],[Percentage]]&gt;=60,"E",IF(Table4[[#This Row],[Percentage]]&gt;=50,"F")))))</f>
        <v>F</v>
      </c>
      <c r="J5" s="3" t="str">
        <f>IF(MIN(Table3[[#This Row],[TELUGU]:[SOCIAL]])&gt;=35,"PASS","FAIL")</f>
        <v>PASS</v>
      </c>
      <c r="K5" s="5">
        <f>(Table4[[#This Row],[TOTAL]]/600)*100</f>
        <v>52.166666666666664</v>
      </c>
    </row>
    <row r="6" spans="1:11" ht="18.5" x14ac:dyDescent="0.45">
      <c r="A6" s="4" t="s">
        <v>15</v>
      </c>
      <c r="B6">
        <v>88</v>
      </c>
      <c r="C6">
        <v>97</v>
      </c>
      <c r="D6">
        <v>79</v>
      </c>
      <c r="E6">
        <v>88</v>
      </c>
      <c r="F6">
        <v>88</v>
      </c>
      <c r="G6">
        <v>65</v>
      </c>
      <c r="H6">
        <f>SUM(Table3[[#This Row],[TELUGU]:[SOCIAL]])</f>
        <v>505</v>
      </c>
      <c r="I6" s="3" t="str">
        <f>IF(Table4[[#This Row],[Percentage]]&gt;=90,"A",IF(Table4[[#This Row],[Percentage]]&gt;=80,"B",IF(Table4[[#This Row],[Percentage]]&gt;=70,"C",IF(Table4[[#This Row],[Percentage]]&gt;=60,"E",IF(Table4[[#This Row],[Percentage]]&gt;=50,"F")))))</f>
        <v>B</v>
      </c>
      <c r="J6" s="3" t="str">
        <f>IF(MIN(Table3[[#This Row],[TELUGU]:[SOCIAL]])&gt;=35,"PASS","FAIL")</f>
        <v>PASS</v>
      </c>
      <c r="K6" s="5">
        <f>(Table4[[#This Row],[TOTAL]]/600)*100</f>
        <v>84.166666666666671</v>
      </c>
    </row>
    <row r="7" spans="1:11" ht="18.5" x14ac:dyDescent="0.45">
      <c r="A7" s="4" t="s">
        <v>16</v>
      </c>
      <c r="B7">
        <v>99</v>
      </c>
      <c r="C7">
        <v>83</v>
      </c>
      <c r="D7">
        <v>38</v>
      </c>
      <c r="E7">
        <v>99</v>
      </c>
      <c r="F7">
        <v>99</v>
      </c>
      <c r="G7">
        <v>67</v>
      </c>
      <c r="H7">
        <f>SUM(Table3[[#This Row],[TELUGU]:[SOCIAL]])</f>
        <v>485</v>
      </c>
      <c r="I7" s="3" t="str">
        <f>IF(Table4[[#This Row],[Percentage]]&gt;=90,"A",IF(Table4[[#This Row],[Percentage]]&gt;=80,"B",IF(Table4[[#This Row],[Percentage]]&gt;=70,"C",IF(Table4[[#This Row],[Percentage]]&gt;=60,"E",IF(Table4[[#This Row],[Percentage]]&gt;=50,"F")))))</f>
        <v>B</v>
      </c>
      <c r="J7" s="3" t="str">
        <f>IF(MIN(Table3[[#This Row],[TELUGU]:[SOCIAL]])&gt;=35,"PASS","FAIL")</f>
        <v>PASS</v>
      </c>
      <c r="K7" s="5">
        <f>(Table4[[#This Row],[TOTAL]]/600)*100</f>
        <v>80.833333333333329</v>
      </c>
    </row>
    <row r="8" spans="1:11" ht="18.5" x14ac:dyDescent="0.45">
      <c r="A8" s="4" t="s">
        <v>17</v>
      </c>
      <c r="B8">
        <v>66</v>
      </c>
      <c r="C8">
        <v>87</v>
      </c>
      <c r="D8">
        <v>78</v>
      </c>
      <c r="E8">
        <v>66</v>
      </c>
      <c r="F8">
        <v>66</v>
      </c>
      <c r="G8">
        <v>76</v>
      </c>
      <c r="H8">
        <f>SUM(Table3[[#This Row],[TELUGU]:[SOCIAL]])</f>
        <v>439</v>
      </c>
      <c r="I8" s="3" t="str">
        <f>IF(Table4[[#This Row],[Percentage]]&gt;=90,"A",IF(Table4[[#This Row],[Percentage]]&gt;=80,"B",IF(Table4[[#This Row],[Percentage]]&gt;=70,"C",IF(Table4[[#This Row],[Percentage]]&gt;=60,"E",IF(Table4[[#This Row],[Percentage]]&gt;=50,"F")))))</f>
        <v>C</v>
      </c>
      <c r="J8" s="3" t="str">
        <f>IF(MIN(Table3[[#This Row],[TELUGU]:[SOCIAL]])&gt;=35,"PASS","FAIL")</f>
        <v>PASS</v>
      </c>
      <c r="K8" s="5">
        <f>(Table4[[#This Row],[TOTAL]]/600)*100</f>
        <v>73.166666666666671</v>
      </c>
    </row>
    <row r="9" spans="1:11" ht="18.5" x14ac:dyDescent="0.45">
      <c r="A9" s="4" t="s">
        <v>18</v>
      </c>
      <c r="B9">
        <v>65</v>
      </c>
      <c r="C9">
        <v>67</v>
      </c>
      <c r="D9">
        <v>76</v>
      </c>
      <c r="E9">
        <v>56</v>
      </c>
      <c r="F9">
        <v>65</v>
      </c>
      <c r="G9">
        <v>78</v>
      </c>
      <c r="H9">
        <f>SUM(Table3[[#This Row],[TELUGU]:[SOCIAL]])</f>
        <v>407</v>
      </c>
      <c r="I9" s="3" t="str">
        <f>IF(Table4[[#This Row],[Percentage]]&gt;=90,"A",IF(Table4[[#This Row],[Percentage]]&gt;=80,"B",IF(Table4[[#This Row],[Percentage]]&gt;=70,"C",IF(Table4[[#This Row],[Percentage]]&gt;=60,"E",IF(Table4[[#This Row],[Percentage]]&gt;=50,"F")))))</f>
        <v>E</v>
      </c>
      <c r="J9" s="3" t="str">
        <f>IF(MIN(Table3[[#This Row],[TELUGU]:[SOCIAL]])&gt;=35,"PASS","FAIL")</f>
        <v>PASS</v>
      </c>
      <c r="K9" s="5">
        <f>(Table4[[#This Row],[TOTAL]]/600)*100</f>
        <v>67.833333333333329</v>
      </c>
    </row>
    <row r="10" spans="1:11" ht="18.5" x14ac:dyDescent="0.45">
      <c r="A10" s="4" t="s">
        <v>19</v>
      </c>
      <c r="B10">
        <v>67</v>
      </c>
      <c r="C10">
        <v>65</v>
      </c>
      <c r="D10">
        <v>56</v>
      </c>
      <c r="E10">
        <v>76</v>
      </c>
      <c r="F10">
        <v>67</v>
      </c>
      <c r="G10">
        <v>87</v>
      </c>
      <c r="H10">
        <f>SUM(Table3[[#This Row],[TELUGU]:[SOCIAL]])</f>
        <v>418</v>
      </c>
      <c r="I10" s="3" t="str">
        <f>IF(Table4[[#This Row],[Percentage]]&gt;=90,"A",IF(Table4[[#This Row],[Percentage]]&gt;=80,"B",IF(Table4[[#This Row],[Percentage]]&gt;=70,"C",IF(Table4[[#This Row],[Percentage]]&gt;=60,"E",IF(Table4[[#This Row],[Percentage]]&gt;=50,"F")))))</f>
        <v>E</v>
      </c>
      <c r="J10" s="3" t="str">
        <f>IF(MIN(Table3[[#This Row],[TELUGU]:[SOCIAL]])&gt;=35,"PASS","FAIL")</f>
        <v>PASS</v>
      </c>
      <c r="K10" s="5">
        <f>(Table4[[#This Row],[TOTAL]]/600)*100</f>
        <v>69.666666666666671</v>
      </c>
    </row>
    <row r="11" spans="1:11" ht="18.5" x14ac:dyDescent="0.45">
      <c r="A11" s="4" t="s">
        <v>20</v>
      </c>
      <c r="B11">
        <v>87</v>
      </c>
      <c r="C11">
        <v>66</v>
      </c>
      <c r="D11">
        <v>66</v>
      </c>
      <c r="E11">
        <v>78</v>
      </c>
      <c r="F11">
        <v>87</v>
      </c>
      <c r="G11">
        <v>98</v>
      </c>
      <c r="H11">
        <f>SUM(Table3[[#This Row],[TELUGU]:[SOCIAL]])</f>
        <v>482</v>
      </c>
      <c r="I11" s="3" t="str">
        <f>IF(Table4[[#This Row],[Percentage]]&gt;=90,"A",IF(Table4[[#This Row],[Percentage]]&gt;=80,"B",IF(Table4[[#This Row],[Percentage]]&gt;=70,"C",IF(Table4[[#This Row],[Percentage]]&gt;=60,"E",IF(Table4[[#This Row],[Percentage]]&gt;=50,"F")))))</f>
        <v>B</v>
      </c>
      <c r="J11" s="3" t="str">
        <f>IF(MIN(Table3[[#This Row],[TELUGU]:[SOCIAL]])&gt;=35,"PASS","FAIL")</f>
        <v>PASS</v>
      </c>
      <c r="K11" s="5">
        <f>(Table4[[#This Row],[TOTAL]]/600)*100</f>
        <v>80.333333333333329</v>
      </c>
    </row>
    <row r="12" spans="1:11" ht="18.5" x14ac:dyDescent="0.45">
      <c r="A12" s="4" t="s">
        <v>21</v>
      </c>
      <c r="B12">
        <v>83</v>
      </c>
      <c r="C12">
        <v>99</v>
      </c>
      <c r="D12">
        <v>99</v>
      </c>
      <c r="E12">
        <v>38</v>
      </c>
      <c r="F12">
        <v>83</v>
      </c>
      <c r="G12">
        <v>89</v>
      </c>
      <c r="H12">
        <f>SUM(Table3[[#This Row],[TELUGU]:[SOCIAL]])</f>
        <v>491</v>
      </c>
      <c r="I12" s="3" t="str">
        <f>IF(Table4[[#This Row],[Percentage]]&gt;=90,"A",IF(Table4[[#This Row],[Percentage]]&gt;=80,"B",IF(Table4[[#This Row],[Percentage]]&gt;=70,"C",IF(Table4[[#This Row],[Percentage]]&gt;=60,"E",IF(Table4[[#This Row],[Percentage]]&gt;=50,"F")))))</f>
        <v>B</v>
      </c>
      <c r="J12" s="3" t="str">
        <f>IF(MIN(Table3[[#This Row],[TELUGU]:[SOCIAL]])&gt;=35,"PASS","FAIL")</f>
        <v>PASS</v>
      </c>
      <c r="K12" s="5">
        <f>(Table4[[#This Row],[TOTAL]]/600)*100</f>
        <v>81.833333333333343</v>
      </c>
    </row>
    <row r="13" spans="1:11" ht="18.5" x14ac:dyDescent="0.45">
      <c r="A13" s="4" t="s">
        <v>22</v>
      </c>
      <c r="B13">
        <v>97</v>
      </c>
      <c r="C13">
        <v>88</v>
      </c>
      <c r="D13">
        <v>88</v>
      </c>
      <c r="E13">
        <v>79</v>
      </c>
      <c r="F13">
        <v>97</v>
      </c>
      <c r="G13">
        <v>90</v>
      </c>
      <c r="H13">
        <f>SUM(Table3[[#This Row],[TELUGU]:[SOCIAL]])</f>
        <v>539</v>
      </c>
      <c r="I13" s="3" t="str">
        <f>IF(Table4[[#This Row],[Percentage]]&gt;=90,"A",IF(Table4[[#This Row],[Percentage]]&gt;=80,"B",IF(Table4[[#This Row],[Percentage]]&gt;=70,"C",IF(Table4[[#This Row],[Percentage]]&gt;=60,"E",IF(Table4[[#This Row],[Percentage]]&gt;=50,"F")))))</f>
        <v>B</v>
      </c>
      <c r="J13" s="3" t="str">
        <f>IF(MIN(Table3[[#This Row],[TELUGU]:[SOCIAL]])&gt;=35,"PASS","FAIL")</f>
        <v>PASS</v>
      </c>
      <c r="K13" s="5">
        <f>(Table4[[#This Row],[TOTAL]]/600)*100</f>
        <v>89.833333333333329</v>
      </c>
    </row>
    <row r="14" spans="1:11" ht="18.5" x14ac:dyDescent="0.45">
      <c r="A14" s="4" t="s">
        <v>23</v>
      </c>
      <c r="B14">
        <v>47</v>
      </c>
      <c r="C14">
        <v>45</v>
      </c>
      <c r="D14">
        <v>54</v>
      </c>
      <c r="E14">
        <v>74</v>
      </c>
      <c r="F14">
        <v>47</v>
      </c>
      <c r="G14">
        <v>9</v>
      </c>
      <c r="H14">
        <f>SUM(Table3[[#This Row],[TELUGU]:[SOCIAL]])</f>
        <v>276</v>
      </c>
      <c r="I14" s="3" t="s">
        <v>24</v>
      </c>
      <c r="J14" s="3" t="str">
        <f>IF(MIN(Table3[[#This Row],[TELUGU]:[SOCIAL]])&gt;=35,"PASS","FAIL")</f>
        <v>FAIL</v>
      </c>
      <c r="K14" s="5">
        <f>(Table4[[#This Row],[TOTAL]]/600)*100</f>
        <v>46</v>
      </c>
    </row>
    <row r="15" spans="1:11" ht="18.5" x14ac:dyDescent="0.45">
      <c r="A15" s="4" t="s">
        <v>25</v>
      </c>
      <c r="B15">
        <v>99</v>
      </c>
      <c r="C15">
        <v>43</v>
      </c>
      <c r="D15">
        <v>34</v>
      </c>
      <c r="E15">
        <v>99</v>
      </c>
      <c r="F15">
        <v>99</v>
      </c>
      <c r="G15">
        <v>45</v>
      </c>
      <c r="H15">
        <f>SUM(Table3[[#This Row],[TELUGU]:[SOCIAL]])</f>
        <v>419</v>
      </c>
      <c r="I15" s="3" t="str">
        <f>IF(Table4[[#This Row],[Percentage]]&gt;=90,"A",IF(Table4[[#This Row],[Percentage]]&gt;=80,"B",IF(Table4[[#This Row],[Percentage]]&gt;=70,"C",IF(Table4[[#This Row],[Percentage]]&gt;=60,"E",IF(Table4[[#This Row],[Percentage]]&gt;=50,"F")))))</f>
        <v>E</v>
      </c>
      <c r="J15" s="3" t="str">
        <f>IF(MIN(Table3[[#This Row],[TELUGU]:[SOCIAL]])&gt;=35,"PASS","FAIL")</f>
        <v>FAIL</v>
      </c>
      <c r="K15" s="5">
        <f>(Table4[[#This Row],[TOTAL]]/600)*100</f>
        <v>69.833333333333343</v>
      </c>
    </row>
    <row r="16" spans="1:11" ht="18.5" x14ac:dyDescent="0.45">
      <c r="A16" s="4" t="s">
        <v>26</v>
      </c>
      <c r="B16">
        <v>24</v>
      </c>
      <c r="C16">
        <v>77</v>
      </c>
      <c r="D16">
        <v>77</v>
      </c>
      <c r="E16">
        <v>42</v>
      </c>
      <c r="F16">
        <v>24</v>
      </c>
      <c r="G16">
        <v>43</v>
      </c>
      <c r="H16">
        <f>SUM(Table3[[#This Row],[TELUGU]:[SOCIAL]])</f>
        <v>287</v>
      </c>
      <c r="I16" s="3" t="s">
        <v>24</v>
      </c>
      <c r="J16" s="3" t="str">
        <f>IF(MIN(Table3[[#This Row],[TELUGU]:[SOCIAL]])&gt;=35,"PASS","FAIL")</f>
        <v>FAIL</v>
      </c>
      <c r="K16" s="5">
        <f>(Table4[[#This Row],[TOTAL]]/600)*100</f>
        <v>47.833333333333336</v>
      </c>
    </row>
  </sheetData>
  <mergeCells count="1">
    <mergeCell ref="A1:K1"/>
  </mergeCells>
  <conditionalFormatting sqref="B3:G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{8B42A1BC-65FD-465B-8CCF-CDCE8429F2B9}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42A1BC-65FD-465B-8CCF-CDCE8429F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H3:H16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korada</dc:creator>
  <cp:lastModifiedBy>praveen korada</cp:lastModifiedBy>
  <dcterms:created xsi:type="dcterms:W3CDTF">2026-06-04T20:11:50Z</dcterms:created>
  <dcterms:modified xsi:type="dcterms:W3CDTF">2026-06-04T20:13:45Z</dcterms:modified>
</cp:coreProperties>
</file>